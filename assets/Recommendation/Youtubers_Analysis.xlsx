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krity\Downloads\SQL_YoutubeProject\result\"/>
    </mc:Choice>
  </mc:AlternateContent>
  <xr:revisionPtr revIDLastSave="0" documentId="13_ncr:1_{04F53F18-5C4F-429E-8971-090D796DD162}" xr6:coauthVersionLast="47" xr6:coauthVersionMax="47" xr10:uidLastSave="{00000000-0000-0000-0000-000000000000}"/>
  <bookViews>
    <workbookView xWindow="-110" yWindow="-110" windowWidth="19420" windowHeight="10300" activeTab="2" xr2:uid="{EC57372F-4567-4CC8-A756-0E8962F0A5E6}"/>
  </bookViews>
  <sheets>
    <sheet name="Total_subscribers_analysis" sheetId="1" r:id="rId1"/>
    <sheet name="Total_video_analysis" sheetId="2" r:id="rId2"/>
    <sheet name="Total_views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11" i="3"/>
  <c r="I9" i="3"/>
  <c r="H10" i="3"/>
  <c r="H11" i="3"/>
  <c r="H9" i="3"/>
  <c r="G10" i="3"/>
  <c r="G11" i="3"/>
  <c r="G9" i="3"/>
  <c r="F9" i="3"/>
  <c r="F10" i="3"/>
  <c r="F11" i="3"/>
  <c r="E10" i="3"/>
  <c r="E11" i="3"/>
  <c r="E9" i="3"/>
  <c r="D10" i="3"/>
  <c r="D11" i="3"/>
  <c r="D9" i="3"/>
  <c r="K11" i="3"/>
  <c r="K10" i="3"/>
  <c r="K9" i="3"/>
  <c r="I10" i="2"/>
  <c r="I11" i="2"/>
  <c r="I9" i="2"/>
  <c r="H10" i="2"/>
  <c r="H11" i="2"/>
  <c r="H9" i="2"/>
  <c r="G10" i="2"/>
  <c r="G11" i="2"/>
  <c r="G9" i="2"/>
  <c r="F10" i="2"/>
  <c r="F11" i="2"/>
  <c r="F9" i="2"/>
  <c r="E10" i="2"/>
  <c r="E11" i="2"/>
  <c r="E9" i="2"/>
  <c r="D10" i="2"/>
  <c r="D11" i="2"/>
  <c r="D9" i="2"/>
  <c r="K11" i="2"/>
  <c r="K10" i="2"/>
  <c r="K9" i="2"/>
  <c r="K9" i="1"/>
  <c r="K10" i="1"/>
  <c r="K8" i="1"/>
  <c r="D9" i="1"/>
  <c r="D10" i="1"/>
  <c r="D8" i="1"/>
  <c r="L11" i="3" l="1"/>
  <c r="L10" i="3"/>
  <c r="L9" i="3"/>
  <c r="L11" i="2"/>
  <c r="N11" i="2"/>
  <c r="M11" i="2"/>
  <c r="L10" i="2"/>
  <c r="L9" i="2"/>
  <c r="F9" i="1"/>
  <c r="L9" i="1"/>
  <c r="F10" i="1"/>
  <c r="L10" i="1"/>
  <c r="F8" i="1"/>
  <c r="L8" i="1"/>
  <c r="N11" i="3" l="1"/>
  <c r="M11" i="3"/>
  <c r="N10" i="3"/>
  <c r="M10" i="3"/>
  <c r="M9" i="3"/>
  <c r="N9" i="3"/>
  <c r="M10" i="2"/>
  <c r="N10" i="2"/>
  <c r="N9" i="2"/>
  <c r="M9" i="2"/>
  <c r="M9" i="1"/>
  <c r="H9" i="1"/>
  <c r="N9" i="1" s="1"/>
  <c r="M10" i="1"/>
  <c r="H10" i="1"/>
  <c r="N10" i="1" s="1"/>
  <c r="M8" i="1"/>
  <c r="H8" i="1"/>
  <c r="N8" i="1" s="1"/>
</calcChain>
</file>

<file path=xl/sharedStrings.xml><?xml version="1.0" encoding="utf-8"?>
<sst xmlns="http://schemas.openxmlformats.org/spreadsheetml/2006/main" count="76" uniqueCount="43">
  <si>
    <t>Total Subscribers Analysis</t>
  </si>
  <si>
    <t>Channel Name</t>
  </si>
  <si>
    <t>Avg Views per Video(Excel)</t>
  </si>
  <si>
    <t>Avg Views per Video(SQL)</t>
  </si>
  <si>
    <t>Reconciliation(Excel Vs SQL)</t>
  </si>
  <si>
    <t>Conversion rate</t>
  </si>
  <si>
    <t>Production Cost</t>
  </si>
  <si>
    <t>Campaign Cost</t>
  </si>
  <si>
    <t>Net Profit(SQL)</t>
  </si>
  <si>
    <t>Net Profit(Excel)</t>
  </si>
  <si>
    <t>Potential Product Sales Per Video(Excel)</t>
  </si>
  <si>
    <t>Potential Product Sales Per Video(SQL)</t>
  </si>
  <si>
    <t>Potential Revenue per Video(SQL)</t>
  </si>
  <si>
    <t>NoCopyrightSounds</t>
  </si>
  <si>
    <t>DanTDM</t>
  </si>
  <si>
    <t>Dan Rhodes</t>
  </si>
  <si>
    <t>Potential Revenue per Video (USD) (Excel)</t>
  </si>
  <si>
    <t>Difference between Excel and SQL</t>
  </si>
  <si>
    <t>Avg Views per Video</t>
  </si>
  <si>
    <t>Potential Product Sales Per Video</t>
  </si>
  <si>
    <t>Potential Revenue per Video</t>
  </si>
  <si>
    <t>Net Profit</t>
  </si>
  <si>
    <t>Reccomendations :</t>
  </si>
  <si>
    <t>Of all channels analysed, Dan Rhodes consistently ranks highest across both total viewership and views-per-subscriber efficiency. With a projected net profit of $1,065,000 per video at a one-time campaign cost of $50,000, this channel offers the most compelling return on investment and is the recommended first choice for a long-term marketing partnership.</t>
  </si>
  <si>
    <t>Total Video Analysis</t>
  </si>
  <si>
    <t>Campaign type</t>
  </si>
  <si>
    <t>11-video series sponsorship ($5k per vid)</t>
  </si>
  <si>
    <t>GRM Daily</t>
  </si>
  <si>
    <t>Man City</t>
  </si>
  <si>
    <t>Yogscast</t>
  </si>
  <si>
    <t>Avg Views per Vid (Excel)</t>
  </si>
  <si>
    <t>Avg Views per Vid (SQL)</t>
  </si>
  <si>
    <t xml:space="preserve">Potential Product Sales per video (Excel) </t>
  </si>
  <si>
    <t xml:space="preserve">Potential Product Sales per video (SQL) </t>
  </si>
  <si>
    <t>Potential revenue per video ($USD) (Excel)</t>
  </si>
  <si>
    <t>Potential revenue per video ($USD) (SQL)</t>
  </si>
  <si>
    <t>Net profit (Excel)</t>
  </si>
  <si>
    <t>Net profit (SQL)</t>
  </si>
  <si>
    <t>Influencer marketing</t>
  </si>
  <si>
    <t>Mister Max</t>
  </si>
  <si>
    <t>Total Views Analysis</t>
  </si>
  <si>
    <t>While Yogscast is the only channel among the three to yield a positive net profit ($16,000), the overall return on investment across this category remains modest. That said, GRM Daily, Manchester City, and Yogscast are among the UK's most consistent content publishers, maintaining a reliable upload cadence with reasonable average views per video. Given their long-term growth trajectory, it may be worth presenting a case to the board for an increased campaign budget — a stronger financial commitment to this 11-video series could unlock more favourable partnership terms and position the brand ahead of competitors as these channels continue to grow their reach.</t>
  </si>
  <si>
    <t>Mister Max delivers the strongest return under this deal structure, generating a projected net profit of $1,276,000 — the highest across all campaign types analysed. However, the compelling ROI produced by DanTDM ($404,000) and Dan Rhodes ($985,000) under the same influencer marketing model makes a strong case for a multi-channel package deal. Structuring a combined outreach proposal across all three channels could create significant negotiating leverage, while distributing brand exposure across multiple loyal audiences — maximising both reach and return for all parties involved.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</si>
</sst>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1">
      <alignment horizontal="center" vertical="center" wrapText="1"/>
    </xf>
    <xf numFmtId="43" fontId="1" fillId="0" borderId="0" applyFont="0" applyFill="0" applyBorder="0" applyAlignment="0" applyProtection="0"/>
    <xf numFmtId="0" fontId="1" fillId="7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3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1" fillId="5" borderId="1" xfId="4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0" fillId="5" borderId="1" xfId="4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7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9" fontId="4" fillId="4" borderId="1" xfId="6" applyNumberFormat="1" applyFont="1" applyFill="1" applyBorder="1" applyAlignment="1">
      <alignment horizontal="center" wrapText="1"/>
    </xf>
    <xf numFmtId="0" fontId="4" fillId="4" borderId="1" xfId="3" applyBorder="1" applyAlignment="1">
      <alignment horizontal="center" wrapText="1"/>
    </xf>
    <xf numFmtId="0" fontId="3" fillId="3" borderId="1" xfId="2" applyBorder="1" applyAlignment="1">
      <alignment horizontal="center" wrapText="1"/>
    </xf>
    <xf numFmtId="0" fontId="2" fillId="2" borderId="1" xfId="1" applyBorder="1" applyAlignment="1">
      <alignment horizontal="center" wrapText="1"/>
    </xf>
    <xf numFmtId="0" fontId="1" fillId="7" borderId="1" xfId="7" applyBorder="1" applyAlignment="1">
      <alignment horizontal="center" wrapText="1"/>
    </xf>
    <xf numFmtId="169" fontId="0" fillId="0" borderId="1" xfId="6" applyNumberFormat="1" applyFont="1" applyBorder="1" applyAlignment="1">
      <alignment horizontal="center" vertical="center"/>
    </xf>
    <xf numFmtId="0" fontId="0" fillId="0" borderId="1" xfId="7" applyFont="1" applyFill="1" applyBorder="1" applyAlignment="1">
      <alignment horizontal="center" vertical="center"/>
    </xf>
    <xf numFmtId="0" fontId="0" fillId="0" borderId="1" xfId="6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wrapText="1"/>
    </xf>
  </cellXfs>
  <cellStyles count="8">
    <cellStyle name="20% - Accent1" xfId="4" builtinId="30"/>
    <cellStyle name="20% - Accent4" xfId="7" builtinId="42"/>
    <cellStyle name="Bad" xfId="2" builtinId="27"/>
    <cellStyle name="Comma" xfId="6" builtinId="3"/>
    <cellStyle name="Good" xfId="1" builtinId="26"/>
    <cellStyle name="Neutral" xfId="3" builtinId="28"/>
    <cellStyle name="Normal" xfId="0" builtinId="0"/>
    <cellStyle name="Style 1" xfId="5" xr:uid="{18857ACF-5074-426F-921E-9FE5147DDD60}"/>
  </cellStyles>
  <dxfs count="7">
    <dxf>
      <font>
        <color rgb="FF92D05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E141-223A-4DC1-A231-1932883D9714}">
  <dimension ref="A1:N17"/>
  <sheetViews>
    <sheetView workbookViewId="0">
      <selection activeCell="D4" sqref="D4"/>
    </sheetView>
  </sheetViews>
  <sheetFormatPr defaultRowHeight="14.5" x14ac:dyDescent="0.35"/>
  <cols>
    <col min="1" max="1" width="16.90625" style="1" customWidth="1"/>
    <col min="2" max="2" width="12.7265625" style="1" customWidth="1"/>
    <col min="3" max="3" width="14.26953125" style="1" customWidth="1"/>
    <col min="4" max="9" width="12.7265625" style="1" customWidth="1"/>
    <col min="11" max="14" width="12.6328125" customWidth="1"/>
  </cols>
  <sheetData>
    <row r="1" spans="1:14" ht="23.5" x14ac:dyDescent="0.35">
      <c r="A1" s="9" t="s">
        <v>0</v>
      </c>
      <c r="B1" s="9"/>
      <c r="C1" s="9"/>
      <c r="D1" s="9"/>
    </row>
    <row r="3" spans="1:14" x14ac:dyDescent="0.35">
      <c r="A3" s="2" t="s">
        <v>4</v>
      </c>
      <c r="C3" s="3" t="s">
        <v>5</v>
      </c>
      <c r="D3" s="3">
        <v>0.02</v>
      </c>
    </row>
    <row r="4" spans="1:14" x14ac:dyDescent="0.35">
      <c r="C4" s="3" t="s">
        <v>6</v>
      </c>
      <c r="D4" s="14">
        <v>5</v>
      </c>
    </row>
    <row r="5" spans="1:14" x14ac:dyDescent="0.35">
      <c r="C5" s="3" t="s">
        <v>7</v>
      </c>
      <c r="D5" s="14">
        <v>50000</v>
      </c>
    </row>
    <row r="6" spans="1:14" x14ac:dyDescent="0.35">
      <c r="K6" s="11" t="s">
        <v>17</v>
      </c>
      <c r="L6" s="11"/>
      <c r="M6" s="11"/>
      <c r="N6" s="11"/>
    </row>
    <row r="7" spans="1:14" ht="60" customHeight="1" x14ac:dyDescent="0.35">
      <c r="A7" s="4" t="s">
        <v>1</v>
      </c>
      <c r="B7" s="5" t="s">
        <v>2</v>
      </c>
      <c r="C7" s="5" t="s">
        <v>3</v>
      </c>
      <c r="D7" s="6" t="s">
        <v>10</v>
      </c>
      <c r="E7" s="6" t="s">
        <v>11</v>
      </c>
      <c r="F7" s="7" t="s">
        <v>16</v>
      </c>
      <c r="G7" s="7" t="s">
        <v>12</v>
      </c>
      <c r="H7" s="10" t="s">
        <v>9</v>
      </c>
      <c r="I7" s="8" t="s">
        <v>8</v>
      </c>
      <c r="K7" s="5" t="s">
        <v>18</v>
      </c>
      <c r="L7" s="6" t="s">
        <v>19</v>
      </c>
      <c r="M7" s="7" t="s">
        <v>20</v>
      </c>
      <c r="N7" s="10" t="s">
        <v>21</v>
      </c>
    </row>
    <row r="8" spans="1:14" x14ac:dyDescent="0.35">
      <c r="A8" s="3" t="s">
        <v>13</v>
      </c>
      <c r="B8" s="13">
        <v>6920000</v>
      </c>
      <c r="C8" s="13">
        <v>6920000</v>
      </c>
      <c r="D8" s="13">
        <f>B8*$D$3</f>
        <v>138400</v>
      </c>
      <c r="E8" s="13">
        <v>138400</v>
      </c>
      <c r="F8" s="13">
        <f>D8*$D$4</f>
        <v>692000</v>
      </c>
      <c r="G8" s="13">
        <v>692000</v>
      </c>
      <c r="H8" s="13">
        <f>F8-$D$5</f>
        <v>642000</v>
      </c>
      <c r="I8" s="13">
        <v>642000</v>
      </c>
      <c r="K8" s="12">
        <f>B8-C8</f>
        <v>0</v>
      </c>
      <c r="L8" s="12">
        <f>D8-E8</f>
        <v>0</v>
      </c>
      <c r="M8" s="12">
        <f>F8-G8</f>
        <v>0</v>
      </c>
      <c r="N8" s="12">
        <f>H8-I8</f>
        <v>0</v>
      </c>
    </row>
    <row r="9" spans="1:14" x14ac:dyDescent="0.35">
      <c r="A9" s="3" t="s">
        <v>14</v>
      </c>
      <c r="B9" s="13">
        <v>5340000</v>
      </c>
      <c r="C9" s="13">
        <v>5340000</v>
      </c>
      <c r="D9" s="13">
        <f t="shared" ref="D9:D10" si="0">B9*$D$3</f>
        <v>106800</v>
      </c>
      <c r="E9" s="13">
        <v>106800</v>
      </c>
      <c r="F9" s="13">
        <f t="shared" ref="F9:F10" si="1">D9*$D$4</f>
        <v>534000</v>
      </c>
      <c r="G9" s="13">
        <v>534000</v>
      </c>
      <c r="H9" s="13">
        <f t="shared" ref="H9:H10" si="2">F9-$D$5</f>
        <v>484000</v>
      </c>
      <c r="I9" s="13">
        <v>484000</v>
      </c>
      <c r="K9" s="12">
        <f t="shared" ref="K9:K10" si="3">B9-C9</f>
        <v>0</v>
      </c>
      <c r="L9" s="12">
        <f t="shared" ref="L9:L10" si="4">D9-E9</f>
        <v>0</v>
      </c>
      <c r="M9" s="12">
        <f t="shared" ref="M9:M10" si="5">F9-G9</f>
        <v>0</v>
      </c>
      <c r="N9" s="12">
        <f t="shared" ref="N9:N10" si="6">H9-I9</f>
        <v>0</v>
      </c>
    </row>
    <row r="10" spans="1:14" x14ac:dyDescent="0.35">
      <c r="A10" s="3" t="s">
        <v>15</v>
      </c>
      <c r="B10" s="13">
        <v>11150000</v>
      </c>
      <c r="C10" s="13">
        <v>11150000</v>
      </c>
      <c r="D10" s="13">
        <f t="shared" si="0"/>
        <v>223000</v>
      </c>
      <c r="E10" s="13">
        <v>223000</v>
      </c>
      <c r="F10" s="13">
        <f t="shared" si="1"/>
        <v>1115000</v>
      </c>
      <c r="G10" s="13">
        <v>1115000</v>
      </c>
      <c r="H10" s="13">
        <f t="shared" si="2"/>
        <v>1065000</v>
      </c>
      <c r="I10" s="13">
        <v>1065000</v>
      </c>
      <c r="K10" s="12">
        <f t="shared" si="3"/>
        <v>0</v>
      </c>
      <c r="L10" s="12">
        <f t="shared" si="4"/>
        <v>0</v>
      </c>
      <c r="M10" s="12">
        <f t="shared" si="5"/>
        <v>0</v>
      </c>
      <c r="N10" s="12">
        <f t="shared" si="6"/>
        <v>0</v>
      </c>
    </row>
    <row r="13" spans="1:14" x14ac:dyDescent="0.35">
      <c r="A13" s="1" t="s">
        <v>22</v>
      </c>
    </row>
    <row r="14" spans="1:14" ht="14.5" customHeight="1" x14ac:dyDescent="0.35">
      <c r="A14" s="15" t="s">
        <v>23</v>
      </c>
      <c r="B14" s="15"/>
      <c r="C14" s="15"/>
      <c r="D14" s="15"/>
      <c r="E14" s="15"/>
      <c r="F14" s="15"/>
      <c r="G14" s="15"/>
      <c r="H14" s="15"/>
      <c r="I14" s="15"/>
    </row>
    <row r="15" spans="1:14" ht="16" customHeight="1" x14ac:dyDescent="0.35">
      <c r="A15" s="15"/>
      <c r="B15" s="15"/>
      <c r="C15" s="15"/>
      <c r="D15" s="15"/>
      <c r="E15" s="15"/>
      <c r="F15" s="15"/>
      <c r="G15" s="15"/>
      <c r="H15" s="15"/>
      <c r="I15" s="15"/>
    </row>
    <row r="16" spans="1:14" x14ac:dyDescent="0.35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35">
      <c r="A17" s="15"/>
      <c r="B17" s="15"/>
      <c r="C17" s="15"/>
      <c r="D17" s="15"/>
      <c r="E17" s="15"/>
      <c r="F17" s="15"/>
      <c r="G17" s="15"/>
      <c r="H17" s="15"/>
      <c r="I17" s="15"/>
    </row>
  </sheetData>
  <mergeCells count="3">
    <mergeCell ref="A1:D1"/>
    <mergeCell ref="K6:N6"/>
    <mergeCell ref="A14:I17"/>
  </mergeCells>
  <conditionalFormatting sqref="B7:C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I10">
    <cfRule type="top10" dxfId="4" priority="2" rank="1"/>
  </conditionalFormatting>
  <conditionalFormatting sqref="K8:N10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C606-A779-4F90-BE43-3B899B7EB588}">
  <dimension ref="A1:N18"/>
  <sheetViews>
    <sheetView topLeftCell="A8" workbookViewId="0">
      <selection activeCell="E20" sqref="E20"/>
    </sheetView>
  </sheetViews>
  <sheetFormatPr defaultRowHeight="14.5" x14ac:dyDescent="0.35"/>
  <cols>
    <col min="1" max="1" width="16.90625" style="1" customWidth="1"/>
    <col min="2" max="2" width="12.7265625" style="1" customWidth="1"/>
    <col min="3" max="3" width="14.26953125" style="1" customWidth="1"/>
    <col min="4" max="4" width="21.54296875" style="1" customWidth="1"/>
    <col min="5" max="5" width="21.453125" style="1" customWidth="1"/>
    <col min="6" max="6" width="17.54296875" style="1" customWidth="1"/>
    <col min="7" max="7" width="16.54296875" style="1" customWidth="1"/>
    <col min="8" max="8" width="15.453125" style="1" customWidth="1"/>
    <col min="9" max="9" width="12.7265625" style="1" customWidth="1"/>
    <col min="11" max="14" width="12.6328125" customWidth="1"/>
  </cols>
  <sheetData>
    <row r="1" spans="1:14" ht="23.5" x14ac:dyDescent="0.35">
      <c r="A1" s="9" t="s">
        <v>24</v>
      </c>
      <c r="B1" s="9"/>
      <c r="C1" s="9"/>
      <c r="D1" s="9"/>
    </row>
    <row r="3" spans="1:14" x14ac:dyDescent="0.35">
      <c r="A3" s="2" t="s">
        <v>4</v>
      </c>
      <c r="C3" s="3" t="s">
        <v>5</v>
      </c>
      <c r="D3" s="14">
        <v>0.02</v>
      </c>
    </row>
    <row r="4" spans="1:14" x14ac:dyDescent="0.35">
      <c r="C4" s="3" t="s">
        <v>6</v>
      </c>
      <c r="D4" s="14">
        <v>5</v>
      </c>
    </row>
    <row r="5" spans="1:14" x14ac:dyDescent="0.35">
      <c r="C5" s="3" t="s">
        <v>7</v>
      </c>
      <c r="D5" s="14">
        <v>55000</v>
      </c>
    </row>
    <row r="6" spans="1:14" ht="27.5" customHeight="1" x14ac:dyDescent="0.35">
      <c r="C6" s="16" t="s">
        <v>25</v>
      </c>
      <c r="D6" s="26" t="s">
        <v>26</v>
      </c>
    </row>
    <row r="7" spans="1:14" ht="17" customHeight="1" x14ac:dyDescent="0.35">
      <c r="C7" s="16"/>
      <c r="D7" s="17"/>
      <c r="K7" s="11" t="s">
        <v>17</v>
      </c>
      <c r="L7" s="11"/>
      <c r="M7" s="11"/>
      <c r="N7" s="11"/>
    </row>
    <row r="8" spans="1:14" ht="60" customHeight="1" x14ac:dyDescent="0.35">
      <c r="A8" s="4" t="s">
        <v>1</v>
      </c>
      <c r="B8" s="18" t="s">
        <v>30</v>
      </c>
      <c r="C8" s="19" t="s">
        <v>31</v>
      </c>
      <c r="D8" s="20" t="s">
        <v>32</v>
      </c>
      <c r="E8" s="20" t="s">
        <v>33</v>
      </c>
      <c r="F8" s="21" t="s">
        <v>34</v>
      </c>
      <c r="G8" s="21" t="s">
        <v>35</v>
      </c>
      <c r="H8" s="22" t="s">
        <v>36</v>
      </c>
      <c r="I8" s="22" t="s">
        <v>37</v>
      </c>
      <c r="K8" s="5" t="s">
        <v>18</v>
      </c>
      <c r="L8" s="6" t="s">
        <v>19</v>
      </c>
      <c r="M8" s="7" t="s">
        <v>20</v>
      </c>
      <c r="N8" s="10" t="s">
        <v>21</v>
      </c>
    </row>
    <row r="9" spans="1:14" x14ac:dyDescent="0.35">
      <c r="A9" s="12" t="s">
        <v>27</v>
      </c>
      <c r="B9" s="23">
        <v>510000</v>
      </c>
      <c r="C9" s="23">
        <v>510000</v>
      </c>
      <c r="D9" s="23">
        <f>B9*$D$3</f>
        <v>10200</v>
      </c>
      <c r="E9" s="23">
        <f>C9*$D$3</f>
        <v>10200</v>
      </c>
      <c r="F9" s="23">
        <f>D9*$D$4</f>
        <v>51000</v>
      </c>
      <c r="G9" s="23">
        <f>E9*$D$4</f>
        <v>51000</v>
      </c>
      <c r="H9" s="23">
        <f>F9-$D$5</f>
        <v>-4000</v>
      </c>
      <c r="I9" s="23">
        <f>G9-$D$5</f>
        <v>-4000</v>
      </c>
      <c r="K9" s="12">
        <f>B9-C9</f>
        <v>0</v>
      </c>
      <c r="L9" s="12">
        <f>D9-E9</f>
        <v>0</v>
      </c>
      <c r="M9" s="12">
        <f>F9-G9</f>
        <v>0</v>
      </c>
      <c r="N9" s="12">
        <f>H9-I9</f>
        <v>0</v>
      </c>
    </row>
    <row r="10" spans="1:14" x14ac:dyDescent="0.35">
      <c r="A10" s="12" t="s">
        <v>28</v>
      </c>
      <c r="B10" s="23">
        <v>240000</v>
      </c>
      <c r="C10" s="23">
        <v>240000</v>
      </c>
      <c r="D10" s="23">
        <f t="shared" ref="D10:D11" si="0">B10*$D$3</f>
        <v>4800</v>
      </c>
      <c r="E10" s="23">
        <f t="shared" ref="E10:E11" si="1">C10*$D$3</f>
        <v>4800</v>
      </c>
      <c r="F10" s="23">
        <f t="shared" ref="F10:F11" si="2">D10*$D$4</f>
        <v>24000</v>
      </c>
      <c r="G10" s="23">
        <f t="shared" ref="G10:G11" si="3">E10*$D$4</f>
        <v>24000</v>
      </c>
      <c r="H10" s="23">
        <f t="shared" ref="H10:H11" si="4">F10-$D$5</f>
        <v>-31000</v>
      </c>
      <c r="I10" s="23">
        <f t="shared" ref="I10:I11" si="5">G10-$D$5</f>
        <v>-31000</v>
      </c>
      <c r="K10" s="12">
        <f t="shared" ref="K10:K11" si="6">B10-C10</f>
        <v>0</v>
      </c>
      <c r="L10" s="12">
        <f t="shared" ref="L10:L11" si="7">D10-E10</f>
        <v>0</v>
      </c>
      <c r="M10" s="12">
        <f t="shared" ref="M10:M11" si="8">F10-G10</f>
        <v>0</v>
      </c>
      <c r="N10" s="12">
        <f t="shared" ref="N10:N11" si="9">H10-I10</f>
        <v>0</v>
      </c>
    </row>
    <row r="11" spans="1:14" x14ac:dyDescent="0.35">
      <c r="A11" s="12" t="s">
        <v>29</v>
      </c>
      <c r="B11" s="23">
        <v>710000</v>
      </c>
      <c r="C11" s="23">
        <v>710000</v>
      </c>
      <c r="D11" s="23">
        <f t="shared" si="0"/>
        <v>14200</v>
      </c>
      <c r="E11" s="23">
        <f t="shared" si="1"/>
        <v>14200</v>
      </c>
      <c r="F11" s="23">
        <f t="shared" si="2"/>
        <v>71000</v>
      </c>
      <c r="G11" s="23">
        <f t="shared" si="3"/>
        <v>71000</v>
      </c>
      <c r="H11" s="23">
        <f t="shared" si="4"/>
        <v>16000</v>
      </c>
      <c r="I11" s="23">
        <f t="shared" si="5"/>
        <v>16000</v>
      </c>
      <c r="K11" s="12">
        <f t="shared" si="6"/>
        <v>0</v>
      </c>
      <c r="L11" s="12">
        <f t="shared" si="7"/>
        <v>0</v>
      </c>
      <c r="M11" s="12">
        <f t="shared" si="8"/>
        <v>0</v>
      </c>
      <c r="N11" s="12">
        <f t="shared" si="9"/>
        <v>0</v>
      </c>
    </row>
    <row r="14" spans="1:14" x14ac:dyDescent="0.35">
      <c r="A14" s="1" t="s">
        <v>22</v>
      </c>
    </row>
    <row r="15" spans="1:14" ht="14.5" customHeight="1" x14ac:dyDescent="0.35">
      <c r="A15" s="15" t="s">
        <v>41</v>
      </c>
      <c r="B15" s="15"/>
      <c r="C15" s="15"/>
      <c r="D15" s="15"/>
      <c r="E15" s="15"/>
      <c r="F15" s="15"/>
      <c r="G15" s="15"/>
      <c r="H15" s="15"/>
      <c r="I15" s="15"/>
    </row>
    <row r="16" spans="1:14" ht="16" customHeight="1" x14ac:dyDescent="0.35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35">
      <c r="A17" s="15"/>
      <c r="B17" s="15"/>
      <c r="C17" s="15"/>
      <c r="D17" s="15"/>
      <c r="E17" s="15"/>
      <c r="F17" s="15"/>
      <c r="G17" s="15"/>
      <c r="H17" s="15"/>
      <c r="I17" s="15"/>
    </row>
    <row r="18" spans="1:9" x14ac:dyDescent="0.35">
      <c r="A18" s="15"/>
      <c r="B18" s="15"/>
      <c r="C18" s="15"/>
      <c r="D18" s="15"/>
      <c r="E18" s="15"/>
      <c r="F18" s="15"/>
      <c r="G18" s="15"/>
      <c r="H18" s="15"/>
      <c r="I18" s="15"/>
    </row>
  </sheetData>
  <mergeCells count="3">
    <mergeCell ref="A1:D1"/>
    <mergeCell ref="K7:N7"/>
    <mergeCell ref="A15:I18"/>
  </mergeCells>
  <conditionalFormatting sqref="K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:N1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4A74-07F9-4817-9C22-6ABB37DFB16B}">
  <dimension ref="A1:N18"/>
  <sheetViews>
    <sheetView tabSelected="1" topLeftCell="A6" workbookViewId="0">
      <selection activeCell="I21" sqref="I21"/>
    </sheetView>
  </sheetViews>
  <sheetFormatPr defaultRowHeight="14.5" x14ac:dyDescent="0.35"/>
  <cols>
    <col min="1" max="1" width="16.90625" style="1" customWidth="1"/>
    <col min="2" max="2" width="12.7265625" style="1" customWidth="1"/>
    <col min="3" max="3" width="14.26953125" style="1" customWidth="1"/>
    <col min="4" max="4" width="21.54296875" style="1" customWidth="1"/>
    <col min="5" max="5" width="21.453125" style="1" customWidth="1"/>
    <col min="6" max="6" width="17.54296875" style="1" customWidth="1"/>
    <col min="7" max="7" width="16.54296875" style="1" customWidth="1"/>
    <col min="8" max="8" width="15.453125" style="1" customWidth="1"/>
    <col min="9" max="9" width="12.7265625" style="1" customWidth="1"/>
    <col min="11" max="14" width="12.6328125" customWidth="1"/>
  </cols>
  <sheetData>
    <row r="1" spans="1:14" ht="23.5" x14ac:dyDescent="0.35">
      <c r="A1" s="9" t="s">
        <v>40</v>
      </c>
      <c r="B1" s="9"/>
      <c r="C1" s="9"/>
      <c r="D1" s="9"/>
    </row>
    <row r="3" spans="1:14" x14ac:dyDescent="0.35">
      <c r="A3" s="2" t="s">
        <v>4</v>
      </c>
      <c r="C3" s="3" t="s">
        <v>5</v>
      </c>
      <c r="D3" s="3">
        <v>0.02</v>
      </c>
    </row>
    <row r="4" spans="1:14" x14ac:dyDescent="0.35">
      <c r="C4" s="3" t="s">
        <v>6</v>
      </c>
      <c r="D4" s="14">
        <v>5</v>
      </c>
    </row>
    <row r="5" spans="1:14" x14ac:dyDescent="0.35">
      <c r="C5" s="3" t="s">
        <v>7</v>
      </c>
      <c r="D5" s="25">
        <v>130000</v>
      </c>
    </row>
    <row r="6" spans="1:14" ht="14" customHeight="1" x14ac:dyDescent="0.35">
      <c r="C6" s="24" t="s">
        <v>25</v>
      </c>
      <c r="D6" s="3" t="s">
        <v>38</v>
      </c>
    </row>
    <row r="7" spans="1:14" ht="17" customHeight="1" x14ac:dyDescent="0.35">
      <c r="C7" s="16"/>
      <c r="D7" s="17"/>
      <c r="K7" s="11" t="s">
        <v>17</v>
      </c>
      <c r="L7" s="11"/>
      <c r="M7" s="11"/>
      <c r="N7" s="11"/>
    </row>
    <row r="8" spans="1:14" ht="60" customHeight="1" x14ac:dyDescent="0.35">
      <c r="A8" s="17" t="s">
        <v>1</v>
      </c>
      <c r="B8" s="18" t="s">
        <v>30</v>
      </c>
      <c r="C8" s="19" t="s">
        <v>31</v>
      </c>
      <c r="D8" s="20" t="s">
        <v>32</v>
      </c>
      <c r="E8" s="20" t="s">
        <v>33</v>
      </c>
      <c r="F8" s="21" t="s">
        <v>34</v>
      </c>
      <c r="G8" s="21" t="s">
        <v>35</v>
      </c>
      <c r="H8" s="22" t="s">
        <v>36</v>
      </c>
      <c r="I8" s="22" t="s">
        <v>37</v>
      </c>
      <c r="K8" s="5" t="s">
        <v>18</v>
      </c>
      <c r="L8" s="6" t="s">
        <v>19</v>
      </c>
      <c r="M8" s="7" t="s">
        <v>20</v>
      </c>
      <c r="N8" s="10" t="s">
        <v>21</v>
      </c>
    </row>
    <row r="9" spans="1:14" x14ac:dyDescent="0.35">
      <c r="A9" s="12" t="s">
        <v>15</v>
      </c>
      <c r="B9" s="23">
        <v>11150000</v>
      </c>
      <c r="C9" s="23">
        <v>11150000</v>
      </c>
      <c r="D9" s="23">
        <f>B9*$D$3</f>
        <v>223000</v>
      </c>
      <c r="E9" s="23">
        <f>C9*$D$3</f>
        <v>223000</v>
      </c>
      <c r="F9" s="23">
        <f>D9*$D$4</f>
        <v>1115000</v>
      </c>
      <c r="G9" s="23">
        <f>E9*$D$4</f>
        <v>1115000</v>
      </c>
      <c r="H9" s="23">
        <f>F9-$D$5</f>
        <v>985000</v>
      </c>
      <c r="I9" s="23">
        <f>G9-$D$5</f>
        <v>985000</v>
      </c>
      <c r="K9" s="12">
        <f>B9-C9</f>
        <v>0</v>
      </c>
      <c r="L9" s="12">
        <f>D9-E9</f>
        <v>0</v>
      </c>
      <c r="M9" s="12">
        <f>F9-G9</f>
        <v>0</v>
      </c>
      <c r="N9" s="12">
        <f>H9-I9</f>
        <v>0</v>
      </c>
    </row>
    <row r="10" spans="1:14" x14ac:dyDescent="0.35">
      <c r="A10" s="12" t="s">
        <v>14</v>
      </c>
      <c r="B10" s="23">
        <v>5340000</v>
      </c>
      <c r="C10" s="23">
        <v>5340000</v>
      </c>
      <c r="D10" s="23">
        <f t="shared" ref="D10:D11" si="0">B10*$D$3</f>
        <v>106800</v>
      </c>
      <c r="E10" s="23">
        <f t="shared" ref="E10:E11" si="1">C10*$D$3</f>
        <v>106800</v>
      </c>
      <c r="F10" s="23">
        <f t="shared" ref="F10:F11" si="2">D10*$D$4</f>
        <v>534000</v>
      </c>
      <c r="G10" s="23">
        <f t="shared" ref="G10:G11" si="3">E10*$D$4</f>
        <v>534000</v>
      </c>
      <c r="H10" s="23">
        <f t="shared" ref="H10:H11" si="4">F10-$D$5</f>
        <v>404000</v>
      </c>
      <c r="I10" s="23">
        <f t="shared" ref="I10:I11" si="5">G10-$D$5</f>
        <v>404000</v>
      </c>
      <c r="K10" s="12">
        <f t="shared" ref="K10:K11" si="6">B10-C10</f>
        <v>0</v>
      </c>
      <c r="L10" s="12">
        <f t="shared" ref="L10:L11" si="7">D10-E10</f>
        <v>0</v>
      </c>
      <c r="M10" s="12">
        <f t="shared" ref="M10:M11" si="8">F10-G10</f>
        <v>0</v>
      </c>
      <c r="N10" s="12">
        <f t="shared" ref="N10:N11" si="9">H10-I10</f>
        <v>0</v>
      </c>
    </row>
    <row r="11" spans="1:14" x14ac:dyDescent="0.35">
      <c r="A11" s="12" t="s">
        <v>39</v>
      </c>
      <c r="B11" s="23">
        <v>14060000</v>
      </c>
      <c r="C11" s="23">
        <v>14060000</v>
      </c>
      <c r="D11" s="23">
        <f t="shared" si="0"/>
        <v>281200</v>
      </c>
      <c r="E11" s="23">
        <f t="shared" si="1"/>
        <v>281200</v>
      </c>
      <c r="F11" s="23">
        <f t="shared" si="2"/>
        <v>1406000</v>
      </c>
      <c r="G11" s="23">
        <f t="shared" si="3"/>
        <v>1406000</v>
      </c>
      <c r="H11" s="23">
        <f t="shared" si="4"/>
        <v>1276000</v>
      </c>
      <c r="I11" s="23">
        <f t="shared" si="5"/>
        <v>1276000</v>
      </c>
      <c r="K11" s="12">
        <f t="shared" si="6"/>
        <v>0</v>
      </c>
      <c r="L11" s="12">
        <f t="shared" si="7"/>
        <v>0</v>
      </c>
      <c r="M11" s="12">
        <f t="shared" si="8"/>
        <v>0</v>
      </c>
      <c r="N11" s="12">
        <f t="shared" si="9"/>
        <v>0</v>
      </c>
    </row>
    <row r="14" spans="1:14" x14ac:dyDescent="0.35">
      <c r="A14" s="1" t="s">
        <v>22</v>
      </c>
    </row>
    <row r="15" spans="1:14" ht="14.5" customHeight="1" x14ac:dyDescent="0.35">
      <c r="A15" s="15" t="s">
        <v>42</v>
      </c>
      <c r="B15" s="15"/>
      <c r="C15" s="15"/>
      <c r="D15" s="15"/>
      <c r="E15" s="15"/>
      <c r="F15" s="15"/>
      <c r="G15" s="15"/>
      <c r="H15" s="15"/>
      <c r="I15" s="15"/>
    </row>
    <row r="16" spans="1:14" ht="16" customHeight="1" x14ac:dyDescent="0.35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35">
      <c r="A17" s="15"/>
      <c r="B17" s="15"/>
      <c r="C17" s="15"/>
      <c r="D17" s="15"/>
      <c r="E17" s="15"/>
      <c r="F17" s="15"/>
      <c r="G17" s="15"/>
      <c r="H17" s="15"/>
      <c r="I17" s="15"/>
    </row>
    <row r="18" spans="1:9" x14ac:dyDescent="0.35">
      <c r="A18" s="15"/>
      <c r="B18" s="15"/>
      <c r="C18" s="15"/>
      <c r="D18" s="15"/>
      <c r="E18" s="15"/>
      <c r="F18" s="15"/>
      <c r="G18" s="15"/>
      <c r="H18" s="15"/>
      <c r="I18" s="15"/>
    </row>
  </sheetData>
  <mergeCells count="3">
    <mergeCell ref="A1:D1"/>
    <mergeCell ref="K7:N7"/>
    <mergeCell ref="A15:I18"/>
  </mergeCells>
  <conditionalFormatting sqref="K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:N1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Total_subscribers_analysis</vt:lpstr>
      <vt:lpstr>Total_video_analysis</vt:lpstr>
      <vt:lpstr>Total_views_analysis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Shukrity Chakraborty</dc:creator>
  <cp:lastModifiedBy>Shukrity Chakraborty</cp:lastModifiedBy>
  <dcterms:created xsi:type="dcterms:W3CDTF">2026-03-26T09:44:33Z</dcterms:created>
  <dcterms:modified xsi:type="dcterms:W3CDTF">2026-03-31T11:45:18Z</dcterms:modified>
</cp:coreProperties>
</file>